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iloqa-my.sharepoint.com/personal/shashank_mohore_dailoqa_com/Documents/Desktop/"/>
    </mc:Choice>
  </mc:AlternateContent>
  <xr:revisionPtr revIDLastSave="1118" documentId="8_{E40EADF0-797E-460F-8552-2CA2FF89F369}" xr6:coauthVersionLast="47" xr6:coauthVersionMax="47" xr10:uidLastSave="{B9E28793-3699-4D82-BE00-A0812BF3B2DA}"/>
  <bookViews>
    <workbookView xWindow="-110" yWindow="-110" windowWidth="19420" windowHeight="11500" xr2:uid="{6F369EA2-6026-461B-B0CC-57EABA2FAF75}"/>
  </bookViews>
  <sheets>
    <sheet name="Assumptions" sheetId="4" r:id="rId1"/>
    <sheet name="PnL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4" l="1"/>
  <c r="P12" i="4"/>
  <c r="O13" i="4"/>
  <c r="P13" i="4"/>
  <c r="O14" i="4"/>
  <c r="P14" i="4"/>
  <c r="O15" i="4"/>
  <c r="P15" i="4"/>
  <c r="O16" i="4"/>
  <c r="P16" i="4"/>
  <c r="O17" i="4"/>
  <c r="P17" i="4"/>
  <c r="O18" i="4"/>
  <c r="P18" i="4"/>
  <c r="O19" i="4"/>
  <c r="P19" i="4"/>
  <c r="O20" i="4"/>
  <c r="P20" i="4"/>
  <c r="O21" i="4"/>
  <c r="P21" i="4"/>
  <c r="O22" i="4"/>
  <c r="P22" i="4"/>
  <c r="O23" i="4"/>
  <c r="P23" i="4"/>
  <c r="O24" i="4"/>
  <c r="P24" i="4"/>
  <c r="O25" i="4"/>
  <c r="P25" i="4"/>
  <c r="O26" i="4"/>
  <c r="P26" i="4"/>
  <c r="O27" i="4"/>
  <c r="P27" i="4"/>
  <c r="O28" i="4"/>
  <c r="P28" i="4"/>
  <c r="O29" i="4"/>
  <c r="P29" i="4"/>
  <c r="O30" i="4"/>
  <c r="P30" i="4"/>
  <c r="P4" i="4"/>
  <c r="O4" i="4"/>
  <c r="N4" i="4"/>
  <c r="U13" i="4"/>
  <c r="V13" i="4"/>
  <c r="W13" i="4"/>
  <c r="X13" i="4"/>
  <c r="U14" i="4"/>
  <c r="V14" i="4"/>
  <c r="W14" i="4"/>
  <c r="X14" i="4"/>
  <c r="V15" i="4"/>
  <c r="W15" i="4"/>
  <c r="X15" i="4"/>
  <c r="U16" i="4"/>
  <c r="V16" i="4"/>
  <c r="W16" i="4"/>
  <c r="X16" i="4"/>
  <c r="V17" i="4"/>
  <c r="W17" i="4"/>
  <c r="X17" i="4"/>
  <c r="V18" i="4"/>
  <c r="W18" i="4"/>
  <c r="X18" i="4"/>
  <c r="U19" i="4"/>
  <c r="V19" i="4"/>
  <c r="W19" i="4"/>
  <c r="X19" i="4"/>
  <c r="V20" i="4"/>
  <c r="W20" i="4"/>
  <c r="X20" i="4"/>
  <c r="U21" i="4"/>
  <c r="V21" i="4"/>
  <c r="W21" i="4"/>
  <c r="X21" i="4"/>
  <c r="U22" i="4"/>
  <c r="V22" i="4"/>
  <c r="W22" i="4"/>
  <c r="X22" i="4"/>
  <c r="U23" i="4"/>
  <c r="V23" i="4"/>
  <c r="W23" i="4"/>
  <c r="X23" i="4"/>
  <c r="U24" i="4"/>
  <c r="V24" i="4"/>
  <c r="W24" i="4"/>
  <c r="X24" i="4"/>
  <c r="U25" i="4"/>
  <c r="V25" i="4"/>
  <c r="W25" i="4"/>
  <c r="X25" i="4"/>
  <c r="U26" i="4"/>
  <c r="V26" i="4"/>
  <c r="W26" i="4"/>
  <c r="X26" i="4"/>
  <c r="U27" i="4"/>
  <c r="V27" i="4"/>
  <c r="W27" i="4"/>
  <c r="X27" i="4"/>
  <c r="U28" i="4"/>
  <c r="V28" i="4"/>
  <c r="W28" i="4"/>
  <c r="X28" i="4"/>
  <c r="U29" i="4"/>
  <c r="V29" i="4"/>
  <c r="W29" i="4"/>
  <c r="X29" i="4"/>
  <c r="U30" i="4"/>
  <c r="V30" i="4"/>
  <c r="W30" i="4"/>
  <c r="X30" i="4"/>
  <c r="V12" i="4"/>
  <c r="W12" i="4"/>
  <c r="X12" i="4"/>
  <c r="Q13" i="4"/>
  <c r="R13" i="4"/>
  <c r="Q14" i="4"/>
  <c r="R14" i="4"/>
  <c r="Q15" i="4"/>
  <c r="R15" i="4"/>
  <c r="Q16" i="4"/>
  <c r="R16" i="4"/>
  <c r="Q17" i="4"/>
  <c r="R17" i="4"/>
  <c r="Q18" i="4"/>
  <c r="R18" i="4"/>
  <c r="Q19" i="4"/>
  <c r="R19" i="4"/>
  <c r="Q20" i="4"/>
  <c r="R20" i="4"/>
  <c r="Q21" i="4"/>
  <c r="R21" i="4"/>
  <c r="Q22" i="4"/>
  <c r="R22" i="4"/>
  <c r="Q23" i="4"/>
  <c r="R23" i="4"/>
  <c r="Q24" i="4"/>
  <c r="R24" i="4"/>
  <c r="Q25" i="4"/>
  <c r="R25" i="4"/>
  <c r="Q26" i="4"/>
  <c r="R26" i="4"/>
  <c r="Q27" i="4"/>
  <c r="R27" i="4"/>
  <c r="Q28" i="4"/>
  <c r="R28" i="4"/>
  <c r="Q29" i="4"/>
  <c r="R29" i="4"/>
  <c r="Q30" i="4"/>
  <c r="R30" i="4"/>
  <c r="Q12" i="4"/>
  <c r="R12" i="4"/>
  <c r="U12" i="4"/>
  <c r="L30" i="4"/>
  <c r="K30" i="4"/>
  <c r="J30" i="4"/>
  <c r="L29" i="4"/>
  <c r="K29" i="4"/>
  <c r="J29" i="4"/>
  <c r="L28" i="4"/>
  <c r="K28" i="4"/>
  <c r="J28" i="4"/>
  <c r="L27" i="4"/>
  <c r="K27" i="4"/>
  <c r="J27" i="4"/>
  <c r="L26" i="4"/>
  <c r="K26" i="4"/>
  <c r="J26" i="4"/>
  <c r="L25" i="4"/>
  <c r="K25" i="4"/>
  <c r="J25" i="4"/>
  <c r="L24" i="4"/>
  <c r="K24" i="4"/>
  <c r="J24" i="4"/>
  <c r="L23" i="4"/>
  <c r="K23" i="4"/>
  <c r="J23" i="4"/>
  <c r="L22" i="4"/>
  <c r="K22" i="4"/>
  <c r="J22" i="4"/>
  <c r="L21" i="4"/>
  <c r="K21" i="4"/>
  <c r="J21" i="4"/>
  <c r="L20" i="4"/>
  <c r="K20" i="4"/>
  <c r="J20" i="4"/>
  <c r="L19" i="4"/>
  <c r="K19" i="4"/>
  <c r="J19" i="4"/>
  <c r="L18" i="4"/>
  <c r="K18" i="4"/>
  <c r="J18" i="4"/>
  <c r="L17" i="4"/>
  <c r="K17" i="4"/>
  <c r="J17" i="4"/>
  <c r="L16" i="4"/>
  <c r="K16" i="4"/>
  <c r="J16" i="4"/>
  <c r="L15" i="4"/>
  <c r="K15" i="4"/>
  <c r="J15" i="4"/>
  <c r="L14" i="4"/>
  <c r="K14" i="4"/>
  <c r="J14" i="4"/>
  <c r="L13" i="4"/>
  <c r="K13" i="4"/>
  <c r="J13" i="4"/>
  <c r="L12" i="4"/>
  <c r="K12" i="4"/>
  <c r="J12" i="4"/>
  <c r="I13" i="4"/>
  <c r="I14" i="4"/>
  <c r="I16" i="4"/>
  <c r="I19" i="4"/>
  <c r="I21" i="4"/>
  <c r="I22" i="4"/>
  <c r="I23" i="4"/>
  <c r="I24" i="4"/>
  <c r="I25" i="4"/>
  <c r="I26" i="4"/>
  <c r="I27" i="4"/>
  <c r="I28" i="4"/>
  <c r="I29" i="4"/>
  <c r="I30" i="4"/>
  <c r="I12" i="4"/>
  <c r="C20" i="4"/>
  <c r="U20" i="4" s="1"/>
  <c r="C18" i="4"/>
  <c r="U18" i="4" s="1"/>
  <c r="C17" i="4"/>
  <c r="U17" i="4" s="1"/>
  <c r="C15" i="4"/>
  <c r="I15" i="4" s="1"/>
  <c r="Z4" i="4"/>
  <c r="Y4" i="4"/>
  <c r="X4" i="4"/>
  <c r="W4" i="4"/>
  <c r="V4" i="4"/>
  <c r="U4" i="4"/>
  <c r="T4" i="4"/>
  <c r="S4" i="4"/>
  <c r="R4" i="4"/>
  <c r="Q4" i="4"/>
  <c r="M4" i="4"/>
  <c r="L4" i="4"/>
  <c r="K4" i="4"/>
  <c r="J4" i="4"/>
  <c r="I4" i="4"/>
  <c r="H4" i="4"/>
  <c r="G4" i="4"/>
  <c r="F4" i="4"/>
  <c r="E4" i="4"/>
  <c r="D4" i="4"/>
  <c r="C4" i="4"/>
  <c r="I17" i="4" l="1"/>
  <c r="U15" i="4"/>
  <c r="I20" i="4"/>
  <c r="I18" i="4"/>
</calcChain>
</file>

<file path=xl/sharedStrings.xml><?xml version="1.0" encoding="utf-8"?>
<sst xmlns="http://schemas.openxmlformats.org/spreadsheetml/2006/main" count="283" uniqueCount="112">
  <si>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</si>
  <si>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</si>
  <si>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</si>
  <si>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</si>
  <si>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</si>
  <si>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</si>
  <si>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</si>
  <si>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</si>
  <si>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</si>
  <si>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</si>
  <si>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</si>
  <si>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</si>
  <si>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</si>
  <si>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</si>
  <si>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</si>
  <si>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</si>
  <si>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</si>
  <si>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</si>
  <si>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</si>
  <si>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</si>
  <si>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</si>
  <si>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</si>
  <si>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</si>
  <si>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</si>
  <si>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City</t>
  </si>
  <si>
    <t>Attribute</t>
  </si>
  <si>
    <t>Management</t>
  </si>
  <si>
    <t>Shops Onboarded</t>
  </si>
  <si>
    <t>Assumption</t>
  </si>
  <si>
    <t>App Running Cost</t>
  </si>
  <si>
    <t>Marketing Cost</t>
  </si>
  <si>
    <t>Population</t>
  </si>
  <si>
    <t>Tier1</t>
  </si>
  <si>
    <t>Tier2</t>
  </si>
  <si>
    <t>Tier3</t>
  </si>
  <si>
    <t>Tier4</t>
  </si>
  <si>
    <t>Total Cities</t>
  </si>
  <si>
    <t>Categories</t>
  </si>
  <si>
    <t>&gt;15L</t>
  </si>
  <si>
    <t>&gt;50L</t>
  </si>
  <si>
    <t>&gt;25L</t>
  </si>
  <si>
    <t>&lt;15L</t>
  </si>
  <si>
    <t>Jewellery</t>
  </si>
  <si>
    <t>ATS</t>
  </si>
  <si>
    <t>Real Estate</t>
  </si>
  <si>
    <t>Cars</t>
  </si>
  <si>
    <t>Two Wheeler</t>
  </si>
  <si>
    <t>Apprarels</t>
  </si>
  <si>
    <t>Salon</t>
  </si>
  <si>
    <t>Laundry</t>
  </si>
  <si>
    <t>Pan Shop</t>
  </si>
  <si>
    <t xml:space="preserve">Electronics </t>
  </si>
  <si>
    <t>Supermarket</t>
  </si>
  <si>
    <t>Café</t>
  </si>
  <si>
    <t>Gym Fitness</t>
  </si>
  <si>
    <t>Coaching</t>
  </si>
  <si>
    <t>Clinic</t>
  </si>
  <si>
    <t>Pharmacy</t>
  </si>
  <si>
    <t>Hardware</t>
  </si>
  <si>
    <t xml:space="preserve">Monthly </t>
  </si>
  <si>
    <t>Banner30 Day</t>
  </si>
  <si>
    <t>Banner 1 Day</t>
  </si>
  <si>
    <t>Banner 7 Day</t>
  </si>
  <si>
    <t>Restaruant</t>
  </si>
  <si>
    <t>Others</t>
  </si>
  <si>
    <t>Toys</t>
  </si>
  <si>
    <t>Cities Opened</t>
  </si>
  <si>
    <t>Subscription Plan Monthly</t>
  </si>
  <si>
    <t>Local Shops</t>
  </si>
  <si>
    <t>Pan India</t>
  </si>
  <si>
    <t>Brands  - Pan India (&gt;2 States )</t>
  </si>
  <si>
    <t>Brands - City Wise [1 State Price]</t>
  </si>
  <si>
    <t>State</t>
  </si>
  <si>
    <t>Pincode</t>
  </si>
  <si>
    <t>Dominance for building financials</t>
  </si>
  <si>
    <t>Y</t>
  </si>
  <si>
    <t>Campaigns</t>
  </si>
  <si>
    <t>Audience Size</t>
  </si>
  <si>
    <t>0 – 100</t>
  </si>
  <si>
    <t>100 – 500</t>
  </si>
  <si>
    <t>500 – 1000</t>
  </si>
  <si>
    <t>&gt; 1000</t>
  </si>
  <si>
    <t>Whatsapp</t>
  </si>
  <si>
    <t>Appinbox</t>
  </si>
  <si>
    <t>Assume 10% Log will do campaigns in the month…. And assume… They will touchbase 500 Customer in every capaign</t>
  </si>
  <si>
    <t>Manpower</t>
  </si>
  <si>
    <t>Tier 1</t>
  </si>
  <si>
    <t>Tier 2</t>
  </si>
  <si>
    <t>Productivity</t>
  </si>
  <si>
    <t>FOS</t>
  </si>
  <si>
    <t>Per Day</t>
  </si>
  <si>
    <t>L1</t>
  </si>
  <si>
    <t>L2</t>
  </si>
  <si>
    <t>L3</t>
  </si>
  <si>
    <t>L4</t>
  </si>
  <si>
    <t>L5</t>
  </si>
  <si>
    <t>Sales</t>
  </si>
  <si>
    <t>As per Productivity</t>
  </si>
  <si>
    <t>xxxx</t>
  </si>
  <si>
    <t>Product</t>
  </si>
  <si>
    <t>Marketing</t>
  </si>
  <si>
    <t>Campaign</t>
  </si>
  <si>
    <t>Development</t>
  </si>
  <si>
    <t>Salary - Sales</t>
  </si>
  <si>
    <t>Sales Incentive (% OF Subscription)</t>
  </si>
  <si>
    <t>Salary - Non  Sales</t>
  </si>
  <si>
    <t>Server Cost</t>
  </si>
  <si>
    <t>LLM Cost</t>
  </si>
  <si>
    <t>Admin Cost</t>
  </si>
  <si>
    <t>30% Of Revenue</t>
  </si>
  <si>
    <t xml:space="preserve">Brands  - State 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</si>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</sst>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₹&quot;\ #,##0;[Red]&quot;₹&quot;\ \-#,##0"/>
    <numFmt numFmtId="8" formatCode="&quot;₹&quot;\ #,##0.00;[Red]&quot;₹&quot;\ \-#,##0.00"/>
    <numFmt numFmtId="43" formatCode="_ * #,##0.00_ ;_ * \-#,##0.00_ ;_ * &quot;-&quot;??_ ;_ @_ "/>
    <numFmt numFmtId="164" formatCode="_ * #,##0_ ;_ * \-#,##0_ ;_ * &quot;-&quot;??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0" tint="-0.249977111117893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4" fillId="0" borderId="0" xfId="0" applyFont="1" applyAlignment="1">
      <alignment vertical="center"/>
    </xf>
    <xf numFmtId="164" fontId="5" fillId="3" borderId="12" xfId="1" applyNumberFormat="1" applyFont="1" applyFill="1" applyBorder="1" applyAlignment="1">
      <alignment horizontal="center" vertical="center" wrapText="1"/>
    </xf>
    <xf numFmtId="164" fontId="5" fillId="3" borderId="13" xfId="1" applyNumberFormat="1" applyFont="1" applyFill="1" applyBorder="1" applyAlignment="1">
      <alignment horizontal="center" vertical="center" wrapText="1"/>
    </xf>
    <xf numFmtId="164" fontId="5" fillId="3" borderId="11" xfId="1" applyNumberFormat="1" applyFont="1" applyFill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6" fillId="4" borderId="10" xfId="0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4" fontId="3" fillId="0" borderId="1" xfId="1" applyNumberFormat="1" applyFont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164" fontId="3" fillId="0" borderId="6" xfId="1" applyNumberFormat="1" applyFont="1" applyBorder="1" applyAlignment="1">
      <alignment horizontal="center" vertical="center"/>
    </xf>
    <xf numFmtId="164" fontId="3" fillId="0" borderId="8" xfId="1" applyNumberFormat="1" applyFont="1" applyBorder="1" applyAlignment="1">
      <alignment horizontal="center" vertical="center"/>
    </xf>
    <xf numFmtId="164" fontId="3" fillId="0" borderId="9" xfId="1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vertical="center"/>
    </xf>
    <xf numFmtId="164" fontId="4" fillId="0" borderId="6" xfId="0" applyNumberFormat="1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7" fillId="0" borderId="19" xfId="0" applyFont="1" applyBorder="1" applyAlignment="1">
      <alignment horizontal="center" vertical="center" wrapText="1" readingOrder="1"/>
    </xf>
    <xf numFmtId="0" fontId="8" fillId="0" borderId="20" xfId="0" applyFont="1" applyBorder="1" applyAlignment="1">
      <alignment horizontal="center" vertical="center" wrapText="1" readingOrder="1"/>
    </xf>
    <xf numFmtId="6" fontId="8" fillId="0" borderId="20" xfId="0" applyNumberFormat="1" applyFont="1" applyBorder="1" applyAlignment="1">
      <alignment horizontal="center" vertical="center" wrapText="1" readingOrder="1"/>
    </xf>
    <xf numFmtId="0" fontId="8" fillId="0" borderId="21" xfId="0" applyFont="1" applyBorder="1" applyAlignment="1">
      <alignment horizontal="center" vertical="center" wrapText="1" readingOrder="1"/>
    </xf>
    <xf numFmtId="8" fontId="8" fillId="0" borderId="21" xfId="0" applyNumberFormat="1" applyFont="1" applyBorder="1" applyAlignment="1">
      <alignment horizontal="center" vertical="center" wrapText="1" readingOrder="1"/>
    </xf>
    <xf numFmtId="8" fontId="8" fillId="0" borderId="20" xfId="0" applyNumberFormat="1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9" fontId="4" fillId="0" borderId="0" xfId="2" applyFont="1" applyAlignment="1">
      <alignment vertical="center"/>
    </xf>
    <xf numFmtId="9" fontId="4" fillId="0" borderId="1" xfId="2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2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left" vertical="center"/>
    </xf>
    <xf numFmtId="0" fontId="6" fillId="5" borderId="16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D1DCC-E83E-4499-95D5-CC0E9A9722AD}">
  <dimension ref="A1:AA77"/>
  <sheetViews>
    <sheetView tabSelected="1" zoomScale="67" workbookViewId="0">
      <selection activeCell="O67" sqref="O67"/>
    </sheetView>
  </sheetViews>
  <sheetFormatPr defaultRowHeight="17.5" customHeight="1" x14ac:dyDescent="0.35"/>
  <cols>
    <col min="1" max="1" width="15" style="1" bestFit="1" customWidth="1"/>
    <col min="2" max="2" width="18.6328125" style="1" customWidth="1"/>
    <col min="3" max="3" width="17.54296875" style="1" customWidth="1"/>
    <col min="4" max="4" width="9.453125" style="1" bestFit="1" customWidth="1"/>
    <col min="5" max="5" width="14.08984375" style="1" customWidth="1"/>
    <col min="6" max="6" width="13.36328125" style="38" customWidth="1"/>
    <col min="7" max="7" width="10.453125" style="1" customWidth="1"/>
    <col min="8" max="8" width="14.6328125" style="1" customWidth="1"/>
    <col min="9" max="9" width="13.36328125" style="38" customWidth="1"/>
    <col min="10" max="10" width="14.26953125" style="1" bestFit="1" customWidth="1"/>
    <col min="11" max="11" width="10.6328125" style="1" bestFit="1" customWidth="1"/>
    <col min="12" max="12" width="10.26953125" style="1" bestFit="1" customWidth="1"/>
    <col min="13" max="14" width="7.90625" style="1" customWidth="1"/>
    <col min="15" max="15" width="15.81640625" style="1" customWidth="1"/>
    <col min="16" max="16" width="9.54296875" style="1" bestFit="1" customWidth="1"/>
    <col min="17" max="17" width="11.453125" style="1" customWidth="1"/>
    <col min="18" max="18" width="16.81640625" style="1" bestFit="1" customWidth="1"/>
    <col min="19" max="19" width="10" style="1" customWidth="1"/>
    <col min="20" max="20" width="13.453125" style="1" customWidth="1"/>
    <col min="21" max="21" width="12.7265625" style="1" customWidth="1"/>
    <col min="22" max="24" width="14.7265625" style="1" customWidth="1"/>
    <col min="25" max="26" width="4.7265625" style="1" bestFit="1" customWidth="1"/>
    <col min="27" max="27" width="4" style="1" bestFit="1" customWidth="1"/>
    <col min="28" max="16384" width="8.7265625" style="1"/>
  </cols>
  <sheetData>
    <row r="1" spans="1:27" ht="17.5" customHeight="1" thickBot="1" x14ac:dyDescent="0.4"/>
    <row r="2" spans="1:27" ht="17.5" customHeight="1" thickBot="1" x14ac:dyDescent="0.4">
      <c r="A2" s="54" t="s">
        <v>66</v>
      </c>
      <c r="B2" s="55"/>
    </row>
    <row r="3" spans="1:27" s="5" customFormat="1" ht="17.5" customHeight="1" x14ac:dyDescent="0.35">
      <c r="A3" s="2" t="s">
        <v>25</v>
      </c>
      <c r="B3" s="3" t="s">
        <v>28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  <c r="P3" s="4" t="s">
        <v>13</v>
      </c>
      <c r="Q3" s="4" t="s">
        <v>14</v>
      </c>
      <c r="R3" s="4" t="s">
        <v>15</v>
      </c>
      <c r="S3" s="4" t="s">
        <v>16</v>
      </c>
      <c r="T3" s="4" t="s">
        <v>17</v>
      </c>
      <c r="U3" s="4" t="s">
        <v>18</v>
      </c>
      <c r="V3" s="4" t="s">
        <v>19</v>
      </c>
      <c r="W3" s="4" t="s">
        <v>20</v>
      </c>
      <c r="X3" s="4" t="s">
        <v>21</v>
      </c>
      <c r="Y3" s="4" t="s">
        <v>22</v>
      </c>
      <c r="Z3" s="4" t="s">
        <v>23</v>
      </c>
    </row>
    <row r="4" spans="1:27" s="8" customFormat="1" ht="17.5" customHeight="1" x14ac:dyDescent="0.35">
      <c r="A4" s="6" t="s">
        <v>36</v>
      </c>
      <c r="B4" s="7" t="s">
        <v>31</v>
      </c>
      <c r="C4" s="7">
        <f>SUM(C5:C8)</f>
        <v>1</v>
      </c>
      <c r="D4" s="7">
        <f t="shared" ref="D4:Z4" si="0">SUM(D5:D8)</f>
        <v>1</v>
      </c>
      <c r="E4" s="7">
        <f t="shared" si="0"/>
        <v>1</v>
      </c>
      <c r="F4" s="7">
        <f t="shared" si="0"/>
        <v>5</v>
      </c>
      <c r="G4" s="7">
        <f t="shared" si="0"/>
        <v>5</v>
      </c>
      <c r="H4" s="7">
        <f t="shared" si="0"/>
        <v>5</v>
      </c>
      <c r="I4" s="7">
        <f t="shared" si="0"/>
        <v>10</v>
      </c>
      <c r="J4" s="7">
        <f t="shared" si="0"/>
        <v>10</v>
      </c>
      <c r="K4" s="7">
        <f t="shared" si="0"/>
        <v>10</v>
      </c>
      <c r="L4" s="7">
        <f t="shared" si="0"/>
        <v>25</v>
      </c>
      <c r="M4" s="7">
        <f t="shared" si="0"/>
        <v>25</v>
      </c>
      <c r="N4" s="7">
        <f t="shared" ref="N4:P4" si="1">SUM(N5:N8)</f>
        <v>25</v>
      </c>
      <c r="O4" s="7">
        <f t="shared" si="1"/>
        <v>50</v>
      </c>
      <c r="P4" s="7">
        <f t="shared" si="1"/>
        <v>50</v>
      </c>
      <c r="Q4" s="7">
        <f t="shared" si="0"/>
        <v>50</v>
      </c>
      <c r="R4" s="7">
        <f t="shared" si="0"/>
        <v>100</v>
      </c>
      <c r="S4" s="7">
        <f t="shared" si="0"/>
        <v>100</v>
      </c>
      <c r="T4" s="7">
        <f t="shared" si="0"/>
        <v>100</v>
      </c>
      <c r="U4" s="7">
        <f t="shared" si="0"/>
        <v>150</v>
      </c>
      <c r="V4" s="7">
        <f t="shared" si="0"/>
        <v>150</v>
      </c>
      <c r="W4" s="7">
        <f t="shared" si="0"/>
        <v>150</v>
      </c>
      <c r="X4" s="7">
        <f t="shared" si="0"/>
        <v>150</v>
      </c>
      <c r="Y4" s="7">
        <f t="shared" si="0"/>
        <v>150</v>
      </c>
      <c r="Z4" s="7">
        <f t="shared" si="0"/>
        <v>150</v>
      </c>
    </row>
    <row r="5" spans="1:27" s="8" customFormat="1" ht="17.5" customHeight="1" x14ac:dyDescent="0.35">
      <c r="A5" s="9" t="s">
        <v>32</v>
      </c>
      <c r="B5" s="10" t="s">
        <v>39</v>
      </c>
      <c r="C5" s="10">
        <v>1</v>
      </c>
      <c r="D5" s="10">
        <v>1</v>
      </c>
      <c r="E5" s="10">
        <v>1</v>
      </c>
      <c r="F5" s="10">
        <v>5</v>
      </c>
      <c r="G5" s="10">
        <v>5</v>
      </c>
      <c r="H5" s="10">
        <v>5</v>
      </c>
      <c r="I5" s="10">
        <v>10</v>
      </c>
      <c r="J5" s="10">
        <v>10</v>
      </c>
      <c r="K5" s="10">
        <v>10</v>
      </c>
      <c r="L5" s="10">
        <v>10</v>
      </c>
      <c r="M5" s="10">
        <v>10</v>
      </c>
      <c r="N5" s="10">
        <v>10</v>
      </c>
      <c r="O5" s="10">
        <v>10</v>
      </c>
      <c r="P5" s="10">
        <v>10</v>
      </c>
      <c r="Q5" s="10">
        <v>10</v>
      </c>
      <c r="R5" s="10">
        <v>10</v>
      </c>
      <c r="S5" s="10">
        <v>10</v>
      </c>
      <c r="T5" s="10">
        <v>10</v>
      </c>
      <c r="U5" s="10">
        <v>10</v>
      </c>
      <c r="V5" s="10">
        <v>10</v>
      </c>
      <c r="W5" s="10">
        <v>10</v>
      </c>
      <c r="X5" s="10">
        <v>10</v>
      </c>
      <c r="Y5" s="10">
        <v>10</v>
      </c>
      <c r="Z5" s="10">
        <v>10</v>
      </c>
      <c r="AA5" s="11">
        <v>0.4</v>
      </c>
    </row>
    <row r="6" spans="1:27" s="8" customFormat="1" ht="17.5" customHeight="1" x14ac:dyDescent="0.35">
      <c r="A6" s="9" t="s">
        <v>33</v>
      </c>
      <c r="B6" s="10" t="s">
        <v>40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10</v>
      </c>
      <c r="M6" s="10">
        <v>10</v>
      </c>
      <c r="N6" s="10">
        <v>10</v>
      </c>
      <c r="O6" s="10">
        <v>10</v>
      </c>
      <c r="P6" s="10">
        <v>10</v>
      </c>
      <c r="Q6" s="10">
        <v>10</v>
      </c>
      <c r="R6" s="10">
        <v>10</v>
      </c>
      <c r="S6" s="10">
        <v>10</v>
      </c>
      <c r="T6" s="10">
        <v>10</v>
      </c>
      <c r="U6" s="10">
        <v>10</v>
      </c>
      <c r="V6" s="10">
        <v>10</v>
      </c>
      <c r="W6" s="10">
        <v>10</v>
      </c>
      <c r="X6" s="10">
        <v>10</v>
      </c>
      <c r="Y6" s="10">
        <v>10</v>
      </c>
      <c r="Z6" s="10">
        <v>10</v>
      </c>
      <c r="AA6" s="11">
        <v>0.3</v>
      </c>
    </row>
    <row r="7" spans="1:27" s="8" customFormat="1" ht="17.5" customHeight="1" x14ac:dyDescent="0.35">
      <c r="A7" s="9" t="s">
        <v>34</v>
      </c>
      <c r="B7" s="10" t="s">
        <v>38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5</v>
      </c>
      <c r="M7" s="10">
        <v>5</v>
      </c>
      <c r="N7" s="10">
        <v>5</v>
      </c>
      <c r="O7" s="10">
        <v>30</v>
      </c>
      <c r="P7" s="10">
        <v>30</v>
      </c>
      <c r="Q7" s="10">
        <v>30</v>
      </c>
      <c r="R7" s="10">
        <v>30</v>
      </c>
      <c r="S7" s="10">
        <v>30</v>
      </c>
      <c r="T7" s="10">
        <v>30</v>
      </c>
      <c r="U7" s="10">
        <v>30</v>
      </c>
      <c r="V7" s="10">
        <v>30</v>
      </c>
      <c r="W7" s="10">
        <v>30</v>
      </c>
      <c r="X7" s="10">
        <v>30</v>
      </c>
      <c r="Y7" s="10">
        <v>30</v>
      </c>
      <c r="Z7" s="10">
        <v>30</v>
      </c>
      <c r="AA7" s="11">
        <v>0.2</v>
      </c>
    </row>
    <row r="8" spans="1:27" s="8" customFormat="1" ht="17.5" customHeight="1" x14ac:dyDescent="0.35">
      <c r="A8" s="9" t="s">
        <v>35</v>
      </c>
      <c r="B8" s="10" t="s">
        <v>41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50</v>
      </c>
      <c r="S8" s="10">
        <v>50</v>
      </c>
      <c r="T8" s="10">
        <v>50</v>
      </c>
      <c r="U8" s="10">
        <v>100</v>
      </c>
      <c r="V8" s="10">
        <v>100</v>
      </c>
      <c r="W8" s="10">
        <v>100</v>
      </c>
      <c r="X8" s="10">
        <v>100</v>
      </c>
      <c r="Y8" s="10">
        <v>100</v>
      </c>
      <c r="Z8" s="10">
        <v>100</v>
      </c>
      <c r="AA8" s="11">
        <v>0.1</v>
      </c>
    </row>
    <row r="9" spans="1:27" ht="17.5" customHeight="1" thickBot="1" x14ac:dyDescent="0.4"/>
    <row r="10" spans="1:27" s="12" customFormat="1" ht="17.5" customHeight="1" x14ac:dyDescent="0.35">
      <c r="A10" s="52" t="s">
        <v>67</v>
      </c>
      <c r="B10" s="53"/>
      <c r="C10" s="56" t="s">
        <v>68</v>
      </c>
      <c r="D10" s="57"/>
      <c r="E10" s="57"/>
      <c r="F10" s="58"/>
      <c r="H10" s="50" t="s">
        <v>67</v>
      </c>
      <c r="I10" s="51"/>
      <c r="J10" s="46" t="s">
        <v>70</v>
      </c>
      <c r="K10" s="46"/>
      <c r="L10" s="47"/>
      <c r="N10" s="50" t="s">
        <v>67</v>
      </c>
      <c r="O10" s="51"/>
      <c r="P10" s="46" t="s">
        <v>110</v>
      </c>
      <c r="Q10" s="46"/>
      <c r="R10" s="47"/>
      <c r="T10" s="50" t="s">
        <v>67</v>
      </c>
      <c r="U10" s="51"/>
      <c r="V10" s="46" t="s">
        <v>71</v>
      </c>
      <c r="W10" s="46"/>
      <c r="X10" s="47"/>
    </row>
    <row r="11" spans="1:27" s="12" customFormat="1" ht="17.5" customHeight="1" x14ac:dyDescent="0.35">
      <c r="A11" s="16" t="s">
        <v>37</v>
      </c>
      <c r="B11" s="13" t="s">
        <v>43</v>
      </c>
      <c r="C11" s="13" t="s">
        <v>59</v>
      </c>
      <c r="D11" s="13" t="s">
        <v>61</v>
      </c>
      <c r="E11" s="13" t="s">
        <v>62</v>
      </c>
      <c r="F11" s="17" t="s">
        <v>60</v>
      </c>
      <c r="H11" s="16" t="s">
        <v>37</v>
      </c>
      <c r="I11" s="13" t="s">
        <v>59</v>
      </c>
      <c r="J11" s="13" t="s">
        <v>61</v>
      </c>
      <c r="K11" s="13" t="s">
        <v>62</v>
      </c>
      <c r="L11" s="17" t="s">
        <v>60</v>
      </c>
      <c r="N11" s="16" t="s">
        <v>37</v>
      </c>
      <c r="O11" s="13" t="s">
        <v>59</v>
      </c>
      <c r="P11" s="13" t="s">
        <v>61</v>
      </c>
      <c r="Q11" s="13" t="s">
        <v>62</v>
      </c>
      <c r="R11" s="17" t="s">
        <v>60</v>
      </c>
      <c r="T11" s="16" t="s">
        <v>37</v>
      </c>
      <c r="U11" s="13" t="s">
        <v>59</v>
      </c>
      <c r="V11" s="13" t="s">
        <v>61</v>
      </c>
      <c r="W11" s="13" t="s">
        <v>62</v>
      </c>
      <c r="X11" s="17" t="s">
        <v>60</v>
      </c>
    </row>
    <row r="12" spans="1:27" ht="17.5" customHeight="1" x14ac:dyDescent="0.35">
      <c r="A12" s="18" t="s">
        <v>44</v>
      </c>
      <c r="B12" s="15">
        <v>5000000</v>
      </c>
      <c r="C12" s="15">
        <v>10000</v>
      </c>
      <c r="D12" s="15">
        <v>1000</v>
      </c>
      <c r="E12" s="15">
        <v>3000</v>
      </c>
      <c r="F12" s="20">
        <v>5000</v>
      </c>
      <c r="H12" s="18" t="s">
        <v>44</v>
      </c>
      <c r="I12" s="39">
        <f>C12*10</f>
        <v>100000</v>
      </c>
      <c r="J12" s="23">
        <f t="shared" ref="J12:J30" si="2">D12*10</f>
        <v>10000</v>
      </c>
      <c r="K12" s="23">
        <f t="shared" ref="K12:K30" si="3">E12*10</f>
        <v>30000</v>
      </c>
      <c r="L12" s="24">
        <f t="shared" ref="L12:L30" si="4">F12*10</f>
        <v>50000</v>
      </c>
      <c r="N12" s="18" t="s">
        <v>44</v>
      </c>
      <c r="O12" s="23">
        <f t="shared" ref="O12:P27" si="5">C12*5</f>
        <v>50000</v>
      </c>
      <c r="P12" s="23">
        <f t="shared" si="5"/>
        <v>5000</v>
      </c>
      <c r="Q12" s="23">
        <f>E12*5</f>
        <v>15000</v>
      </c>
      <c r="R12" s="24">
        <f>F12*5</f>
        <v>25000</v>
      </c>
      <c r="T12" s="18" t="s">
        <v>44</v>
      </c>
      <c r="U12" s="23">
        <f>C12*2</f>
        <v>20000</v>
      </c>
      <c r="V12" s="23">
        <f t="shared" ref="V12:X12" si="6">D12*2</f>
        <v>2000</v>
      </c>
      <c r="W12" s="23">
        <f t="shared" si="6"/>
        <v>6000</v>
      </c>
      <c r="X12" s="24">
        <f t="shared" si="6"/>
        <v>10000</v>
      </c>
    </row>
    <row r="13" spans="1:27" ht="17.5" customHeight="1" x14ac:dyDescent="0.35">
      <c r="A13" s="18" t="s">
        <v>45</v>
      </c>
      <c r="B13" s="15">
        <v>1000000</v>
      </c>
      <c r="C13" s="15">
        <v>10000</v>
      </c>
      <c r="D13" s="15">
        <v>1000</v>
      </c>
      <c r="E13" s="15">
        <v>3000</v>
      </c>
      <c r="F13" s="20">
        <v>5000</v>
      </c>
      <c r="H13" s="18" t="s">
        <v>45</v>
      </c>
      <c r="I13" s="39">
        <f t="shared" ref="I13:I30" si="7">C13*10</f>
        <v>100000</v>
      </c>
      <c r="J13" s="23">
        <f t="shared" si="2"/>
        <v>10000</v>
      </c>
      <c r="K13" s="23">
        <f t="shared" si="3"/>
        <v>30000</v>
      </c>
      <c r="L13" s="24">
        <f t="shared" si="4"/>
        <v>50000</v>
      </c>
      <c r="N13" s="18" t="s">
        <v>45</v>
      </c>
      <c r="O13" s="23">
        <f t="shared" si="5"/>
        <v>50000</v>
      </c>
      <c r="P13" s="23">
        <f t="shared" si="5"/>
        <v>5000</v>
      </c>
      <c r="Q13" s="23">
        <f t="shared" ref="Q13:Q30" si="8">E13*5</f>
        <v>15000</v>
      </c>
      <c r="R13" s="24">
        <f t="shared" ref="R13:R30" si="9">F13*5</f>
        <v>25000</v>
      </c>
      <c r="T13" s="18" t="s">
        <v>45</v>
      </c>
      <c r="U13" s="23">
        <f t="shared" ref="U13:U30" si="10">C13*2</f>
        <v>20000</v>
      </c>
      <c r="V13" s="23">
        <f t="shared" ref="V13:V30" si="11">D13*2</f>
        <v>2000</v>
      </c>
      <c r="W13" s="23">
        <f t="shared" ref="W13:W30" si="12">E13*2</f>
        <v>6000</v>
      </c>
      <c r="X13" s="24">
        <f t="shared" ref="X13:X30" si="13">F13*2</f>
        <v>10000</v>
      </c>
    </row>
    <row r="14" spans="1:27" ht="17.5" customHeight="1" x14ac:dyDescent="0.35">
      <c r="A14" s="18" t="s">
        <v>46</v>
      </c>
      <c r="B14" s="15">
        <v>100000</v>
      </c>
      <c r="C14" s="15">
        <v>5000</v>
      </c>
      <c r="D14" s="15">
        <v>1000</v>
      </c>
      <c r="E14" s="15">
        <v>3000</v>
      </c>
      <c r="F14" s="20">
        <v>5000</v>
      </c>
      <c r="H14" s="18" t="s">
        <v>46</v>
      </c>
      <c r="I14" s="39">
        <f t="shared" si="7"/>
        <v>50000</v>
      </c>
      <c r="J14" s="23">
        <f t="shared" si="2"/>
        <v>10000</v>
      </c>
      <c r="K14" s="23">
        <f t="shared" si="3"/>
        <v>30000</v>
      </c>
      <c r="L14" s="24">
        <f t="shared" si="4"/>
        <v>50000</v>
      </c>
      <c r="N14" s="18" t="s">
        <v>46</v>
      </c>
      <c r="O14" s="23">
        <f t="shared" si="5"/>
        <v>25000</v>
      </c>
      <c r="P14" s="23">
        <f t="shared" si="5"/>
        <v>5000</v>
      </c>
      <c r="Q14" s="23">
        <f t="shared" si="8"/>
        <v>15000</v>
      </c>
      <c r="R14" s="24">
        <f t="shared" si="9"/>
        <v>25000</v>
      </c>
      <c r="T14" s="18" t="s">
        <v>46</v>
      </c>
      <c r="U14" s="23">
        <f t="shared" si="10"/>
        <v>10000</v>
      </c>
      <c r="V14" s="23">
        <f t="shared" si="11"/>
        <v>2000</v>
      </c>
      <c r="W14" s="23">
        <f t="shared" si="12"/>
        <v>6000</v>
      </c>
      <c r="X14" s="24">
        <f t="shared" si="13"/>
        <v>10000</v>
      </c>
    </row>
    <row r="15" spans="1:27" ht="17.5" customHeight="1" x14ac:dyDescent="0.35">
      <c r="A15" s="18" t="s">
        <v>42</v>
      </c>
      <c r="B15" s="15">
        <v>100000</v>
      </c>
      <c r="C15" s="15">
        <f>B15*10%</f>
        <v>10000</v>
      </c>
      <c r="D15" s="15">
        <v>1000</v>
      </c>
      <c r="E15" s="15">
        <v>3000</v>
      </c>
      <c r="F15" s="20">
        <v>5000</v>
      </c>
      <c r="H15" s="18" t="s">
        <v>42</v>
      </c>
      <c r="I15" s="39">
        <f t="shared" si="7"/>
        <v>100000</v>
      </c>
      <c r="J15" s="23">
        <f t="shared" si="2"/>
        <v>10000</v>
      </c>
      <c r="K15" s="23">
        <f t="shared" si="3"/>
        <v>30000</v>
      </c>
      <c r="L15" s="24">
        <f t="shared" si="4"/>
        <v>50000</v>
      </c>
      <c r="N15" s="18" t="s">
        <v>42</v>
      </c>
      <c r="O15" s="23">
        <f t="shared" si="5"/>
        <v>50000</v>
      </c>
      <c r="P15" s="23">
        <f t="shared" si="5"/>
        <v>5000</v>
      </c>
      <c r="Q15" s="23">
        <f t="shared" si="8"/>
        <v>15000</v>
      </c>
      <c r="R15" s="24">
        <f t="shared" si="9"/>
        <v>25000</v>
      </c>
      <c r="T15" s="18" t="s">
        <v>42</v>
      </c>
      <c r="U15" s="23">
        <f t="shared" si="10"/>
        <v>20000</v>
      </c>
      <c r="V15" s="23">
        <f t="shared" si="11"/>
        <v>2000</v>
      </c>
      <c r="W15" s="23">
        <f t="shared" si="12"/>
        <v>6000</v>
      </c>
      <c r="X15" s="24">
        <f t="shared" si="13"/>
        <v>10000</v>
      </c>
    </row>
    <row r="16" spans="1:27" ht="17.5" customHeight="1" x14ac:dyDescent="0.35">
      <c r="A16" s="18" t="s">
        <v>51</v>
      </c>
      <c r="B16" s="15">
        <v>20000</v>
      </c>
      <c r="C16" s="15">
        <v>1000</v>
      </c>
      <c r="D16" s="15">
        <v>1000</v>
      </c>
      <c r="E16" s="15">
        <v>3000</v>
      </c>
      <c r="F16" s="20">
        <v>5000</v>
      </c>
      <c r="H16" s="18" t="s">
        <v>51</v>
      </c>
      <c r="I16" s="39">
        <f t="shared" si="7"/>
        <v>10000</v>
      </c>
      <c r="J16" s="23">
        <f t="shared" si="2"/>
        <v>10000</v>
      </c>
      <c r="K16" s="23">
        <f t="shared" si="3"/>
        <v>30000</v>
      </c>
      <c r="L16" s="24">
        <f t="shared" si="4"/>
        <v>50000</v>
      </c>
      <c r="N16" s="18" t="s">
        <v>51</v>
      </c>
      <c r="O16" s="23">
        <f t="shared" si="5"/>
        <v>5000</v>
      </c>
      <c r="P16" s="23">
        <f t="shared" si="5"/>
        <v>5000</v>
      </c>
      <c r="Q16" s="23">
        <f t="shared" si="8"/>
        <v>15000</v>
      </c>
      <c r="R16" s="24">
        <f t="shared" si="9"/>
        <v>25000</v>
      </c>
      <c r="T16" s="18" t="s">
        <v>51</v>
      </c>
      <c r="U16" s="23">
        <f t="shared" si="10"/>
        <v>2000</v>
      </c>
      <c r="V16" s="23">
        <f t="shared" si="11"/>
        <v>2000</v>
      </c>
      <c r="W16" s="23">
        <f t="shared" si="12"/>
        <v>6000</v>
      </c>
      <c r="X16" s="24">
        <f t="shared" si="13"/>
        <v>10000</v>
      </c>
    </row>
    <row r="17" spans="1:24" ht="17.5" customHeight="1" x14ac:dyDescent="0.35">
      <c r="A17" s="18" t="s">
        <v>47</v>
      </c>
      <c r="B17" s="15">
        <v>10000</v>
      </c>
      <c r="C17" s="15">
        <f>B17*10%</f>
        <v>1000</v>
      </c>
      <c r="D17" s="15">
        <v>1000</v>
      </c>
      <c r="E17" s="15">
        <v>3000</v>
      </c>
      <c r="F17" s="20">
        <v>5000</v>
      </c>
      <c r="H17" s="18" t="s">
        <v>47</v>
      </c>
      <c r="I17" s="39">
        <f t="shared" si="7"/>
        <v>10000</v>
      </c>
      <c r="J17" s="23">
        <f t="shared" si="2"/>
        <v>10000</v>
      </c>
      <c r="K17" s="23">
        <f t="shared" si="3"/>
        <v>30000</v>
      </c>
      <c r="L17" s="24">
        <f t="shared" si="4"/>
        <v>50000</v>
      </c>
      <c r="N17" s="18" t="s">
        <v>47</v>
      </c>
      <c r="O17" s="23">
        <f t="shared" si="5"/>
        <v>5000</v>
      </c>
      <c r="P17" s="23">
        <f t="shared" si="5"/>
        <v>5000</v>
      </c>
      <c r="Q17" s="23">
        <f t="shared" si="8"/>
        <v>15000</v>
      </c>
      <c r="R17" s="24">
        <f t="shared" si="9"/>
        <v>25000</v>
      </c>
      <c r="T17" s="18" t="s">
        <v>47</v>
      </c>
      <c r="U17" s="23">
        <f t="shared" si="10"/>
        <v>2000</v>
      </c>
      <c r="V17" s="23">
        <f t="shared" si="11"/>
        <v>2000</v>
      </c>
      <c r="W17" s="23">
        <f t="shared" si="12"/>
        <v>6000</v>
      </c>
      <c r="X17" s="24">
        <f t="shared" si="13"/>
        <v>10000</v>
      </c>
    </row>
    <row r="18" spans="1:24" ht="17.5" customHeight="1" x14ac:dyDescent="0.35">
      <c r="A18" s="18" t="s">
        <v>52</v>
      </c>
      <c r="B18" s="15">
        <v>5000</v>
      </c>
      <c r="C18" s="15">
        <f>B18*10%</f>
        <v>500</v>
      </c>
      <c r="D18" s="15">
        <v>500</v>
      </c>
      <c r="E18" s="15">
        <v>750</v>
      </c>
      <c r="F18" s="20">
        <v>1000</v>
      </c>
      <c r="H18" s="18" t="s">
        <v>52</v>
      </c>
      <c r="I18" s="39">
        <f t="shared" si="7"/>
        <v>5000</v>
      </c>
      <c r="J18" s="23">
        <f t="shared" si="2"/>
        <v>5000</v>
      </c>
      <c r="K18" s="23">
        <f t="shared" si="3"/>
        <v>7500</v>
      </c>
      <c r="L18" s="24">
        <f t="shared" si="4"/>
        <v>10000</v>
      </c>
      <c r="N18" s="18" t="s">
        <v>52</v>
      </c>
      <c r="O18" s="23">
        <f t="shared" si="5"/>
        <v>2500</v>
      </c>
      <c r="P18" s="23">
        <f t="shared" si="5"/>
        <v>2500</v>
      </c>
      <c r="Q18" s="23">
        <f t="shared" si="8"/>
        <v>3750</v>
      </c>
      <c r="R18" s="24">
        <f t="shared" si="9"/>
        <v>5000</v>
      </c>
      <c r="T18" s="18" t="s">
        <v>52</v>
      </c>
      <c r="U18" s="23">
        <f t="shared" si="10"/>
        <v>1000</v>
      </c>
      <c r="V18" s="23">
        <f t="shared" si="11"/>
        <v>1000</v>
      </c>
      <c r="W18" s="23">
        <f t="shared" si="12"/>
        <v>1500</v>
      </c>
      <c r="X18" s="24">
        <f t="shared" si="13"/>
        <v>2000</v>
      </c>
    </row>
    <row r="19" spans="1:24" ht="17.5" customHeight="1" x14ac:dyDescent="0.35">
      <c r="A19" s="18" t="s">
        <v>54</v>
      </c>
      <c r="B19" s="15">
        <v>2000</v>
      </c>
      <c r="C19" s="15">
        <v>500</v>
      </c>
      <c r="D19" s="15">
        <v>500</v>
      </c>
      <c r="E19" s="15">
        <v>750</v>
      </c>
      <c r="F19" s="20">
        <v>1000</v>
      </c>
      <c r="H19" s="18" t="s">
        <v>54</v>
      </c>
      <c r="I19" s="39">
        <f t="shared" si="7"/>
        <v>5000</v>
      </c>
      <c r="J19" s="23">
        <f t="shared" si="2"/>
        <v>5000</v>
      </c>
      <c r="K19" s="23">
        <f t="shared" si="3"/>
        <v>7500</v>
      </c>
      <c r="L19" s="24">
        <f t="shared" si="4"/>
        <v>10000</v>
      </c>
      <c r="N19" s="18" t="s">
        <v>54</v>
      </c>
      <c r="O19" s="23">
        <f t="shared" si="5"/>
        <v>2500</v>
      </c>
      <c r="P19" s="23">
        <f t="shared" si="5"/>
        <v>2500</v>
      </c>
      <c r="Q19" s="23">
        <f t="shared" si="8"/>
        <v>3750</v>
      </c>
      <c r="R19" s="24">
        <f t="shared" si="9"/>
        <v>5000</v>
      </c>
      <c r="T19" s="18" t="s">
        <v>54</v>
      </c>
      <c r="U19" s="23">
        <f t="shared" si="10"/>
        <v>1000</v>
      </c>
      <c r="V19" s="23">
        <f t="shared" si="11"/>
        <v>1000</v>
      </c>
      <c r="W19" s="23">
        <f t="shared" si="12"/>
        <v>1500</v>
      </c>
      <c r="X19" s="24">
        <f t="shared" si="13"/>
        <v>2000</v>
      </c>
    </row>
    <row r="20" spans="1:24" ht="17.5" customHeight="1" x14ac:dyDescent="0.35">
      <c r="A20" s="18" t="s">
        <v>58</v>
      </c>
      <c r="B20" s="15">
        <v>2000</v>
      </c>
      <c r="C20" s="15">
        <f>B20*10%</f>
        <v>200</v>
      </c>
      <c r="D20" s="15">
        <v>300</v>
      </c>
      <c r="E20" s="15">
        <v>500</v>
      </c>
      <c r="F20" s="20">
        <v>750</v>
      </c>
      <c r="H20" s="18" t="s">
        <v>58</v>
      </c>
      <c r="I20" s="39">
        <f t="shared" si="7"/>
        <v>2000</v>
      </c>
      <c r="J20" s="23">
        <f t="shared" si="2"/>
        <v>3000</v>
      </c>
      <c r="K20" s="23">
        <f t="shared" si="3"/>
        <v>5000</v>
      </c>
      <c r="L20" s="24">
        <f t="shared" si="4"/>
        <v>7500</v>
      </c>
      <c r="N20" s="18" t="s">
        <v>58</v>
      </c>
      <c r="O20" s="23">
        <f t="shared" si="5"/>
        <v>1000</v>
      </c>
      <c r="P20" s="23">
        <f t="shared" si="5"/>
        <v>1500</v>
      </c>
      <c r="Q20" s="23">
        <f t="shared" si="8"/>
        <v>2500</v>
      </c>
      <c r="R20" s="24">
        <f t="shared" si="9"/>
        <v>3750</v>
      </c>
      <c r="T20" s="18" t="s">
        <v>58</v>
      </c>
      <c r="U20" s="23">
        <f t="shared" si="10"/>
        <v>400</v>
      </c>
      <c r="V20" s="23">
        <f t="shared" si="11"/>
        <v>600</v>
      </c>
      <c r="W20" s="23">
        <f t="shared" si="12"/>
        <v>1000</v>
      </c>
      <c r="X20" s="24">
        <f t="shared" si="13"/>
        <v>1500</v>
      </c>
    </row>
    <row r="21" spans="1:24" ht="17.5" customHeight="1" x14ac:dyDescent="0.35">
      <c r="A21" s="18" t="s">
        <v>55</v>
      </c>
      <c r="B21" s="15">
        <v>1000</v>
      </c>
      <c r="C21" s="15">
        <v>200</v>
      </c>
      <c r="D21" s="15">
        <v>300</v>
      </c>
      <c r="E21" s="15">
        <v>500</v>
      </c>
      <c r="F21" s="20">
        <v>750</v>
      </c>
      <c r="H21" s="18" t="s">
        <v>55</v>
      </c>
      <c r="I21" s="39">
        <f t="shared" si="7"/>
        <v>2000</v>
      </c>
      <c r="J21" s="23">
        <f t="shared" si="2"/>
        <v>3000</v>
      </c>
      <c r="K21" s="23">
        <f t="shared" si="3"/>
        <v>5000</v>
      </c>
      <c r="L21" s="24">
        <f t="shared" si="4"/>
        <v>7500</v>
      </c>
      <c r="N21" s="18" t="s">
        <v>55</v>
      </c>
      <c r="O21" s="23">
        <f t="shared" si="5"/>
        <v>1000</v>
      </c>
      <c r="P21" s="23">
        <f t="shared" si="5"/>
        <v>1500</v>
      </c>
      <c r="Q21" s="23">
        <f t="shared" si="8"/>
        <v>2500</v>
      </c>
      <c r="R21" s="24">
        <f t="shared" si="9"/>
        <v>3750</v>
      </c>
      <c r="T21" s="18" t="s">
        <v>55</v>
      </c>
      <c r="U21" s="23">
        <f t="shared" si="10"/>
        <v>400</v>
      </c>
      <c r="V21" s="23">
        <f t="shared" si="11"/>
        <v>600</v>
      </c>
      <c r="W21" s="23">
        <f t="shared" si="12"/>
        <v>1000</v>
      </c>
      <c r="X21" s="24">
        <f t="shared" si="13"/>
        <v>1500</v>
      </c>
    </row>
    <row r="22" spans="1:24" ht="17.5" customHeight="1" x14ac:dyDescent="0.35">
      <c r="A22" s="18" t="s">
        <v>53</v>
      </c>
      <c r="B22" s="15">
        <v>1000</v>
      </c>
      <c r="C22" s="15">
        <v>200</v>
      </c>
      <c r="D22" s="15">
        <v>300</v>
      </c>
      <c r="E22" s="15">
        <v>500</v>
      </c>
      <c r="F22" s="20">
        <v>750</v>
      </c>
      <c r="H22" s="18" t="s">
        <v>53</v>
      </c>
      <c r="I22" s="39">
        <f t="shared" si="7"/>
        <v>2000</v>
      </c>
      <c r="J22" s="23">
        <f t="shared" si="2"/>
        <v>3000</v>
      </c>
      <c r="K22" s="23">
        <f t="shared" si="3"/>
        <v>5000</v>
      </c>
      <c r="L22" s="24">
        <f t="shared" si="4"/>
        <v>7500</v>
      </c>
      <c r="N22" s="18" t="s">
        <v>53</v>
      </c>
      <c r="O22" s="23">
        <f t="shared" si="5"/>
        <v>1000</v>
      </c>
      <c r="P22" s="23">
        <f t="shared" si="5"/>
        <v>1500</v>
      </c>
      <c r="Q22" s="23">
        <f t="shared" si="8"/>
        <v>2500</v>
      </c>
      <c r="R22" s="24">
        <f t="shared" si="9"/>
        <v>3750</v>
      </c>
      <c r="T22" s="18" t="s">
        <v>53</v>
      </c>
      <c r="U22" s="23">
        <f t="shared" si="10"/>
        <v>400</v>
      </c>
      <c r="V22" s="23">
        <f t="shared" si="11"/>
        <v>600</v>
      </c>
      <c r="W22" s="23">
        <f t="shared" si="12"/>
        <v>1000</v>
      </c>
      <c r="X22" s="24">
        <f t="shared" si="13"/>
        <v>1500</v>
      </c>
    </row>
    <row r="23" spans="1:24" ht="17.5" customHeight="1" x14ac:dyDescent="0.35">
      <c r="A23" s="18" t="s">
        <v>63</v>
      </c>
      <c r="B23" s="15">
        <v>1000</v>
      </c>
      <c r="C23" s="15">
        <v>200</v>
      </c>
      <c r="D23" s="15">
        <v>300</v>
      </c>
      <c r="E23" s="15">
        <v>500</v>
      </c>
      <c r="F23" s="20">
        <v>750</v>
      </c>
      <c r="H23" s="18" t="s">
        <v>63</v>
      </c>
      <c r="I23" s="39">
        <f t="shared" si="7"/>
        <v>2000</v>
      </c>
      <c r="J23" s="23">
        <f t="shared" si="2"/>
        <v>3000</v>
      </c>
      <c r="K23" s="23">
        <f t="shared" si="3"/>
        <v>5000</v>
      </c>
      <c r="L23" s="24">
        <f t="shared" si="4"/>
        <v>7500</v>
      </c>
      <c r="N23" s="18" t="s">
        <v>63</v>
      </c>
      <c r="O23" s="23">
        <f t="shared" si="5"/>
        <v>1000</v>
      </c>
      <c r="P23" s="23">
        <f t="shared" si="5"/>
        <v>1500</v>
      </c>
      <c r="Q23" s="23">
        <f t="shared" si="8"/>
        <v>2500</v>
      </c>
      <c r="R23" s="24">
        <f t="shared" si="9"/>
        <v>3750</v>
      </c>
      <c r="T23" s="18" t="s">
        <v>63</v>
      </c>
      <c r="U23" s="23">
        <f t="shared" si="10"/>
        <v>400</v>
      </c>
      <c r="V23" s="23">
        <f t="shared" si="11"/>
        <v>600</v>
      </c>
      <c r="W23" s="23">
        <f t="shared" si="12"/>
        <v>1000</v>
      </c>
      <c r="X23" s="24">
        <f t="shared" si="13"/>
        <v>1500</v>
      </c>
    </row>
    <row r="24" spans="1:24" ht="17.5" customHeight="1" x14ac:dyDescent="0.35">
      <c r="A24" s="18" t="s">
        <v>56</v>
      </c>
      <c r="B24" s="15">
        <v>1000</v>
      </c>
      <c r="C24" s="15">
        <v>200</v>
      </c>
      <c r="D24" s="15">
        <v>300</v>
      </c>
      <c r="E24" s="15">
        <v>500</v>
      </c>
      <c r="F24" s="20">
        <v>750</v>
      </c>
      <c r="H24" s="18" t="s">
        <v>56</v>
      </c>
      <c r="I24" s="39">
        <f t="shared" si="7"/>
        <v>2000</v>
      </c>
      <c r="J24" s="23">
        <f t="shared" si="2"/>
        <v>3000</v>
      </c>
      <c r="K24" s="23">
        <f t="shared" si="3"/>
        <v>5000</v>
      </c>
      <c r="L24" s="24">
        <f t="shared" si="4"/>
        <v>7500</v>
      </c>
      <c r="N24" s="18" t="s">
        <v>56</v>
      </c>
      <c r="O24" s="23">
        <f t="shared" si="5"/>
        <v>1000</v>
      </c>
      <c r="P24" s="23">
        <f t="shared" si="5"/>
        <v>1500</v>
      </c>
      <c r="Q24" s="23">
        <f t="shared" si="8"/>
        <v>2500</v>
      </c>
      <c r="R24" s="24">
        <f t="shared" si="9"/>
        <v>3750</v>
      </c>
      <c r="T24" s="18" t="s">
        <v>56</v>
      </c>
      <c r="U24" s="23">
        <f t="shared" si="10"/>
        <v>400</v>
      </c>
      <c r="V24" s="23">
        <f t="shared" si="11"/>
        <v>600</v>
      </c>
      <c r="W24" s="23">
        <f t="shared" si="12"/>
        <v>1000</v>
      </c>
      <c r="X24" s="24">
        <f t="shared" si="13"/>
        <v>1500</v>
      </c>
    </row>
    <row r="25" spans="1:24" ht="17.5" customHeight="1" x14ac:dyDescent="0.35">
      <c r="A25" s="18" t="s">
        <v>57</v>
      </c>
      <c r="B25" s="15">
        <v>1000</v>
      </c>
      <c r="C25" s="15">
        <v>200</v>
      </c>
      <c r="D25" s="15">
        <v>300</v>
      </c>
      <c r="E25" s="15">
        <v>500</v>
      </c>
      <c r="F25" s="20">
        <v>750</v>
      </c>
      <c r="H25" s="18" t="s">
        <v>57</v>
      </c>
      <c r="I25" s="39">
        <f t="shared" si="7"/>
        <v>2000</v>
      </c>
      <c r="J25" s="23">
        <f t="shared" si="2"/>
        <v>3000</v>
      </c>
      <c r="K25" s="23">
        <f t="shared" si="3"/>
        <v>5000</v>
      </c>
      <c r="L25" s="24">
        <f t="shared" si="4"/>
        <v>7500</v>
      </c>
      <c r="N25" s="18" t="s">
        <v>57</v>
      </c>
      <c r="O25" s="23">
        <f t="shared" si="5"/>
        <v>1000</v>
      </c>
      <c r="P25" s="23">
        <f t="shared" si="5"/>
        <v>1500</v>
      </c>
      <c r="Q25" s="23">
        <f t="shared" si="8"/>
        <v>2500</v>
      </c>
      <c r="R25" s="24">
        <f t="shared" si="9"/>
        <v>3750</v>
      </c>
      <c r="T25" s="18" t="s">
        <v>57</v>
      </c>
      <c r="U25" s="23">
        <f t="shared" si="10"/>
        <v>400</v>
      </c>
      <c r="V25" s="23">
        <f t="shared" si="11"/>
        <v>600</v>
      </c>
      <c r="W25" s="23">
        <f t="shared" si="12"/>
        <v>1000</v>
      </c>
      <c r="X25" s="24">
        <f t="shared" si="13"/>
        <v>1500</v>
      </c>
    </row>
    <row r="26" spans="1:24" ht="17.5" customHeight="1" x14ac:dyDescent="0.35">
      <c r="A26" s="18" t="s">
        <v>65</v>
      </c>
      <c r="B26" s="15">
        <v>1000</v>
      </c>
      <c r="C26" s="15">
        <v>100</v>
      </c>
      <c r="D26" s="15">
        <v>300</v>
      </c>
      <c r="E26" s="15">
        <v>500</v>
      </c>
      <c r="F26" s="20">
        <v>750</v>
      </c>
      <c r="H26" s="18" t="s">
        <v>65</v>
      </c>
      <c r="I26" s="39">
        <f t="shared" si="7"/>
        <v>1000</v>
      </c>
      <c r="J26" s="23">
        <f t="shared" si="2"/>
        <v>3000</v>
      </c>
      <c r="K26" s="23">
        <f t="shared" si="3"/>
        <v>5000</v>
      </c>
      <c r="L26" s="24">
        <f t="shared" si="4"/>
        <v>7500</v>
      </c>
      <c r="N26" s="18" t="s">
        <v>65</v>
      </c>
      <c r="O26" s="23">
        <f t="shared" si="5"/>
        <v>500</v>
      </c>
      <c r="P26" s="23">
        <f t="shared" si="5"/>
        <v>1500</v>
      </c>
      <c r="Q26" s="23">
        <f t="shared" si="8"/>
        <v>2500</v>
      </c>
      <c r="R26" s="24">
        <f t="shared" si="9"/>
        <v>3750</v>
      </c>
      <c r="T26" s="18" t="s">
        <v>65</v>
      </c>
      <c r="U26" s="23">
        <f t="shared" si="10"/>
        <v>200</v>
      </c>
      <c r="V26" s="23">
        <f t="shared" si="11"/>
        <v>600</v>
      </c>
      <c r="W26" s="23">
        <f t="shared" si="12"/>
        <v>1000</v>
      </c>
      <c r="X26" s="24">
        <f t="shared" si="13"/>
        <v>1500</v>
      </c>
    </row>
    <row r="27" spans="1:24" ht="17.5" customHeight="1" x14ac:dyDescent="0.35">
      <c r="A27" s="18" t="s">
        <v>48</v>
      </c>
      <c r="B27" s="15">
        <v>500</v>
      </c>
      <c r="C27" s="15">
        <v>200</v>
      </c>
      <c r="D27" s="15">
        <v>300</v>
      </c>
      <c r="E27" s="15">
        <v>500</v>
      </c>
      <c r="F27" s="20">
        <v>750</v>
      </c>
      <c r="H27" s="18" t="s">
        <v>48</v>
      </c>
      <c r="I27" s="39">
        <f t="shared" si="7"/>
        <v>2000</v>
      </c>
      <c r="J27" s="23">
        <f t="shared" si="2"/>
        <v>3000</v>
      </c>
      <c r="K27" s="23">
        <f t="shared" si="3"/>
        <v>5000</v>
      </c>
      <c r="L27" s="24">
        <f t="shared" si="4"/>
        <v>7500</v>
      </c>
      <c r="N27" s="18" t="s">
        <v>48</v>
      </c>
      <c r="O27" s="23">
        <f t="shared" si="5"/>
        <v>1000</v>
      </c>
      <c r="P27" s="23">
        <f t="shared" si="5"/>
        <v>1500</v>
      </c>
      <c r="Q27" s="23">
        <f t="shared" si="8"/>
        <v>2500</v>
      </c>
      <c r="R27" s="24">
        <f t="shared" si="9"/>
        <v>3750</v>
      </c>
      <c r="T27" s="18" t="s">
        <v>48</v>
      </c>
      <c r="U27" s="23">
        <f t="shared" si="10"/>
        <v>400</v>
      </c>
      <c r="V27" s="23">
        <f t="shared" si="11"/>
        <v>600</v>
      </c>
      <c r="W27" s="23">
        <f t="shared" si="12"/>
        <v>1000</v>
      </c>
      <c r="X27" s="24">
        <f t="shared" si="13"/>
        <v>1500</v>
      </c>
    </row>
    <row r="28" spans="1:24" ht="17.5" customHeight="1" x14ac:dyDescent="0.35">
      <c r="A28" s="18" t="s">
        <v>49</v>
      </c>
      <c r="B28" s="15">
        <v>100</v>
      </c>
      <c r="C28" s="15">
        <v>100</v>
      </c>
      <c r="D28" s="15">
        <v>100</v>
      </c>
      <c r="E28" s="15">
        <v>300</v>
      </c>
      <c r="F28" s="20">
        <v>500</v>
      </c>
      <c r="H28" s="18" t="s">
        <v>49</v>
      </c>
      <c r="I28" s="39">
        <f t="shared" si="7"/>
        <v>1000</v>
      </c>
      <c r="J28" s="23">
        <f t="shared" si="2"/>
        <v>1000</v>
      </c>
      <c r="K28" s="23">
        <f t="shared" si="3"/>
        <v>3000</v>
      </c>
      <c r="L28" s="24">
        <f t="shared" si="4"/>
        <v>5000</v>
      </c>
      <c r="N28" s="18" t="s">
        <v>49</v>
      </c>
      <c r="O28" s="23">
        <f t="shared" ref="O28:O30" si="14">C28*5</f>
        <v>500</v>
      </c>
      <c r="P28" s="23">
        <f t="shared" ref="P28:P30" si="15">D28*5</f>
        <v>500</v>
      </c>
      <c r="Q28" s="23">
        <f t="shared" si="8"/>
        <v>1500</v>
      </c>
      <c r="R28" s="24">
        <f t="shared" si="9"/>
        <v>2500</v>
      </c>
      <c r="T28" s="18" t="s">
        <v>49</v>
      </c>
      <c r="U28" s="23">
        <f t="shared" si="10"/>
        <v>200</v>
      </c>
      <c r="V28" s="23">
        <f t="shared" si="11"/>
        <v>200</v>
      </c>
      <c r="W28" s="23">
        <f t="shared" si="12"/>
        <v>600</v>
      </c>
      <c r="X28" s="24">
        <f t="shared" si="13"/>
        <v>1000</v>
      </c>
    </row>
    <row r="29" spans="1:24" ht="17.5" customHeight="1" x14ac:dyDescent="0.35">
      <c r="A29" s="18" t="s">
        <v>50</v>
      </c>
      <c r="B29" s="15">
        <v>100</v>
      </c>
      <c r="C29" s="15">
        <v>100</v>
      </c>
      <c r="D29" s="15">
        <v>100</v>
      </c>
      <c r="E29" s="15">
        <v>300</v>
      </c>
      <c r="F29" s="20">
        <v>500</v>
      </c>
      <c r="H29" s="18" t="s">
        <v>50</v>
      </c>
      <c r="I29" s="39">
        <f t="shared" si="7"/>
        <v>1000</v>
      </c>
      <c r="J29" s="23">
        <f t="shared" si="2"/>
        <v>1000</v>
      </c>
      <c r="K29" s="23">
        <f t="shared" si="3"/>
        <v>3000</v>
      </c>
      <c r="L29" s="24">
        <f t="shared" si="4"/>
        <v>5000</v>
      </c>
      <c r="N29" s="18" t="s">
        <v>50</v>
      </c>
      <c r="O29" s="23">
        <f t="shared" si="14"/>
        <v>500</v>
      </c>
      <c r="P29" s="23">
        <f t="shared" si="15"/>
        <v>500</v>
      </c>
      <c r="Q29" s="23">
        <f t="shared" si="8"/>
        <v>1500</v>
      </c>
      <c r="R29" s="24">
        <f t="shared" si="9"/>
        <v>2500</v>
      </c>
      <c r="T29" s="18" t="s">
        <v>50</v>
      </c>
      <c r="U29" s="23">
        <f t="shared" si="10"/>
        <v>200</v>
      </c>
      <c r="V29" s="23">
        <f t="shared" si="11"/>
        <v>200</v>
      </c>
      <c r="W29" s="23">
        <f t="shared" si="12"/>
        <v>600</v>
      </c>
      <c r="X29" s="24">
        <f t="shared" si="13"/>
        <v>1000</v>
      </c>
    </row>
    <row r="30" spans="1:24" ht="17.5" customHeight="1" thickBot="1" x14ac:dyDescent="0.4">
      <c r="A30" s="19" t="s">
        <v>64</v>
      </c>
      <c r="B30" s="21">
        <v>100</v>
      </c>
      <c r="C30" s="21">
        <v>100</v>
      </c>
      <c r="D30" s="21">
        <v>100</v>
      </c>
      <c r="E30" s="21">
        <v>300</v>
      </c>
      <c r="F30" s="22">
        <v>500</v>
      </c>
      <c r="H30" s="19" t="s">
        <v>64</v>
      </c>
      <c r="I30" s="40">
        <f t="shared" si="7"/>
        <v>1000</v>
      </c>
      <c r="J30" s="25">
        <f t="shared" si="2"/>
        <v>1000</v>
      </c>
      <c r="K30" s="25">
        <f t="shared" si="3"/>
        <v>3000</v>
      </c>
      <c r="L30" s="26">
        <f t="shared" si="4"/>
        <v>5000</v>
      </c>
      <c r="N30" s="19" t="s">
        <v>64</v>
      </c>
      <c r="O30" s="25">
        <f t="shared" si="14"/>
        <v>500</v>
      </c>
      <c r="P30" s="25">
        <f t="shared" si="15"/>
        <v>500</v>
      </c>
      <c r="Q30" s="25">
        <f t="shared" si="8"/>
        <v>1500</v>
      </c>
      <c r="R30" s="26">
        <f t="shared" si="9"/>
        <v>2500</v>
      </c>
      <c r="T30" s="19" t="s">
        <v>64</v>
      </c>
      <c r="U30" s="25">
        <f t="shared" si="10"/>
        <v>200</v>
      </c>
      <c r="V30" s="25">
        <f t="shared" si="11"/>
        <v>200</v>
      </c>
      <c r="W30" s="25">
        <f t="shared" si="12"/>
        <v>600</v>
      </c>
      <c r="X30" s="26">
        <f t="shared" si="13"/>
        <v>1000</v>
      </c>
    </row>
    <row r="31" spans="1:24" ht="17.5" customHeight="1" thickBot="1" x14ac:dyDescent="0.4"/>
    <row r="32" spans="1:24" ht="17.5" customHeight="1" thickBot="1" x14ac:dyDescent="0.4">
      <c r="A32" s="52" t="s">
        <v>74</v>
      </c>
      <c r="B32" s="53"/>
      <c r="C32" s="30"/>
      <c r="D32" s="30"/>
      <c r="E32" s="31"/>
    </row>
    <row r="33" spans="1:5" ht="17.5" customHeight="1" x14ac:dyDescent="0.35">
      <c r="A33" s="27" t="s">
        <v>37</v>
      </c>
      <c r="B33" s="28" t="s">
        <v>69</v>
      </c>
      <c r="C33" s="28" t="s">
        <v>72</v>
      </c>
      <c r="D33" s="28" t="s">
        <v>24</v>
      </c>
      <c r="E33" s="29" t="s">
        <v>73</v>
      </c>
    </row>
    <row r="34" spans="1:5" ht="16.5" customHeight="1" x14ac:dyDescent="0.35">
      <c r="A34" s="18" t="s">
        <v>44</v>
      </c>
      <c r="B34" s="15" t="s">
        <v>75</v>
      </c>
      <c r="C34" s="15" t="s">
        <v>75</v>
      </c>
      <c r="D34" s="15" t="s">
        <v>75</v>
      </c>
      <c r="E34" s="20" t="s">
        <v>75</v>
      </c>
    </row>
    <row r="35" spans="1:5" ht="16.5" customHeight="1" x14ac:dyDescent="0.35">
      <c r="A35" s="18" t="s">
        <v>45</v>
      </c>
      <c r="B35" s="15" t="s">
        <v>75</v>
      </c>
      <c r="C35" s="15" t="s">
        <v>75</v>
      </c>
      <c r="D35" s="15" t="s">
        <v>75</v>
      </c>
      <c r="E35" s="20" t="s">
        <v>75</v>
      </c>
    </row>
    <row r="36" spans="1:5" ht="16.5" customHeight="1" x14ac:dyDescent="0.35">
      <c r="A36" s="18" t="s">
        <v>46</v>
      </c>
      <c r="B36" s="15" t="s">
        <v>75</v>
      </c>
      <c r="C36" s="15" t="s">
        <v>75</v>
      </c>
      <c r="D36" s="15" t="s">
        <v>75</v>
      </c>
      <c r="E36" s="20" t="s">
        <v>75</v>
      </c>
    </row>
    <row r="37" spans="1:5" ht="16.5" customHeight="1" x14ac:dyDescent="0.35">
      <c r="A37" s="18" t="s">
        <v>42</v>
      </c>
      <c r="B37" s="15" t="s">
        <v>75</v>
      </c>
      <c r="C37" s="15" t="s">
        <v>75</v>
      </c>
      <c r="D37" s="15" t="s">
        <v>75</v>
      </c>
      <c r="E37" s="20" t="s">
        <v>75</v>
      </c>
    </row>
    <row r="38" spans="1:5" ht="16.5" customHeight="1" x14ac:dyDescent="0.35">
      <c r="A38" s="18" t="s">
        <v>51</v>
      </c>
      <c r="B38" s="15" t="s">
        <v>75</v>
      </c>
      <c r="C38" s="15" t="s">
        <v>75</v>
      </c>
      <c r="D38" s="15" t="s">
        <v>75</v>
      </c>
      <c r="E38" s="20" t="s">
        <v>75</v>
      </c>
    </row>
    <row r="39" spans="1:5" ht="16.5" customHeight="1" x14ac:dyDescent="0.35">
      <c r="A39" s="18" t="s">
        <v>47</v>
      </c>
      <c r="B39" s="15" t="s">
        <v>75</v>
      </c>
      <c r="C39" s="15" t="s">
        <v>75</v>
      </c>
      <c r="D39" s="15" t="s">
        <v>75</v>
      </c>
      <c r="E39" s="20" t="s">
        <v>75</v>
      </c>
    </row>
    <row r="40" spans="1:5" ht="16.5" customHeight="1" x14ac:dyDescent="0.35">
      <c r="A40" s="18" t="s">
        <v>52</v>
      </c>
      <c r="B40" s="15" t="s">
        <v>75</v>
      </c>
      <c r="C40" s="15" t="s">
        <v>75</v>
      </c>
      <c r="D40" s="15" t="s">
        <v>75</v>
      </c>
      <c r="E40" s="20" t="s">
        <v>75</v>
      </c>
    </row>
    <row r="41" spans="1:5" ht="16.5" customHeight="1" x14ac:dyDescent="0.35">
      <c r="A41" s="18" t="s">
        <v>54</v>
      </c>
      <c r="B41" s="15" t="s">
        <v>75</v>
      </c>
      <c r="C41" s="15" t="s">
        <v>75</v>
      </c>
      <c r="D41" s="15" t="s">
        <v>75</v>
      </c>
      <c r="E41" s="20" t="s">
        <v>75</v>
      </c>
    </row>
    <row r="42" spans="1:5" ht="16.5" customHeight="1" x14ac:dyDescent="0.35">
      <c r="A42" s="18" t="s">
        <v>58</v>
      </c>
      <c r="B42" s="15"/>
      <c r="C42" s="15" t="s">
        <v>75</v>
      </c>
      <c r="D42" s="15" t="s">
        <v>75</v>
      </c>
      <c r="E42" s="20" t="s">
        <v>75</v>
      </c>
    </row>
    <row r="43" spans="1:5" ht="16.5" customHeight="1" x14ac:dyDescent="0.35">
      <c r="A43" s="18" t="s">
        <v>55</v>
      </c>
      <c r="B43" s="15" t="s">
        <v>75</v>
      </c>
      <c r="C43" s="15" t="s">
        <v>75</v>
      </c>
      <c r="D43" s="15" t="s">
        <v>75</v>
      </c>
      <c r="E43" s="20" t="s">
        <v>75</v>
      </c>
    </row>
    <row r="44" spans="1:5" ht="16.5" customHeight="1" x14ac:dyDescent="0.35">
      <c r="A44" s="18" t="s">
        <v>53</v>
      </c>
      <c r="B44" s="15"/>
      <c r="C44" s="15"/>
      <c r="D44" s="15" t="s">
        <v>75</v>
      </c>
      <c r="E44" s="20" t="s">
        <v>75</v>
      </c>
    </row>
    <row r="45" spans="1:5" ht="16.5" customHeight="1" x14ac:dyDescent="0.35">
      <c r="A45" s="18" t="s">
        <v>63</v>
      </c>
      <c r="B45" s="15"/>
      <c r="C45" s="15"/>
      <c r="D45" s="15" t="s">
        <v>75</v>
      </c>
      <c r="E45" s="20" t="s">
        <v>75</v>
      </c>
    </row>
    <row r="46" spans="1:5" ht="16.5" customHeight="1" x14ac:dyDescent="0.35">
      <c r="A46" s="18" t="s">
        <v>56</v>
      </c>
      <c r="B46" s="15"/>
      <c r="C46" s="15"/>
      <c r="D46" s="15" t="s">
        <v>75</v>
      </c>
      <c r="E46" s="20" t="s">
        <v>75</v>
      </c>
    </row>
    <row r="47" spans="1:5" ht="16.5" customHeight="1" x14ac:dyDescent="0.35">
      <c r="A47" s="18" t="s">
        <v>57</v>
      </c>
      <c r="B47" s="15"/>
      <c r="C47" s="15"/>
      <c r="D47" s="15" t="s">
        <v>75</v>
      </c>
      <c r="E47" s="20" t="s">
        <v>75</v>
      </c>
    </row>
    <row r="48" spans="1:5" ht="16.5" customHeight="1" x14ac:dyDescent="0.35">
      <c r="A48" s="18" t="s">
        <v>65</v>
      </c>
      <c r="B48" s="15"/>
      <c r="C48" s="15"/>
      <c r="D48" s="15" t="s">
        <v>75</v>
      </c>
      <c r="E48" s="20" t="s">
        <v>75</v>
      </c>
    </row>
    <row r="49" spans="1:21" ht="16.5" customHeight="1" x14ac:dyDescent="0.35">
      <c r="A49" s="18" t="s">
        <v>48</v>
      </c>
      <c r="B49" s="15"/>
      <c r="C49" s="15"/>
      <c r="D49" s="15"/>
      <c r="E49" s="20" t="s">
        <v>75</v>
      </c>
    </row>
    <row r="50" spans="1:21" ht="16.5" customHeight="1" x14ac:dyDescent="0.35">
      <c r="A50" s="18" t="s">
        <v>49</v>
      </c>
      <c r="B50" s="15"/>
      <c r="C50" s="15"/>
      <c r="D50" s="15"/>
      <c r="E50" s="20" t="s">
        <v>75</v>
      </c>
    </row>
    <row r="51" spans="1:21" ht="16.5" customHeight="1" x14ac:dyDescent="0.35">
      <c r="A51" s="18" t="s">
        <v>50</v>
      </c>
      <c r="B51" s="15"/>
      <c r="C51" s="15"/>
      <c r="D51" s="15"/>
      <c r="E51" s="20" t="s">
        <v>75</v>
      </c>
    </row>
    <row r="52" spans="1:21" ht="16.5" customHeight="1" thickBot="1" x14ac:dyDescent="0.4">
      <c r="A52" s="19" t="s">
        <v>64</v>
      </c>
      <c r="B52" s="21"/>
      <c r="C52" s="21"/>
      <c r="D52" s="21"/>
      <c r="E52" s="22" t="s">
        <v>75</v>
      </c>
    </row>
    <row r="53" spans="1:21" ht="17.5" customHeight="1" thickBot="1" x14ac:dyDescent="0.4"/>
    <row r="54" spans="1:21" ht="17.5" customHeight="1" thickBot="1" x14ac:dyDescent="0.4">
      <c r="A54" s="54" t="s">
        <v>76</v>
      </c>
      <c r="B54" s="55"/>
    </row>
    <row r="55" spans="1:21" ht="17.5" customHeight="1" thickBot="1" x14ac:dyDescent="0.4"/>
    <row r="56" spans="1:21" ht="17.5" customHeight="1" thickBot="1" x14ac:dyDescent="0.4">
      <c r="A56" s="32" t="s">
        <v>77</v>
      </c>
      <c r="B56" s="32" t="s">
        <v>82</v>
      </c>
      <c r="C56" s="32" t="s">
        <v>83</v>
      </c>
    </row>
    <row r="57" spans="1:21" ht="17.5" customHeight="1" thickTop="1" thickBot="1" x14ac:dyDescent="0.4">
      <c r="A57" s="33" t="s">
        <v>78</v>
      </c>
      <c r="B57" s="34">
        <v>1</v>
      </c>
      <c r="C57" s="37">
        <v>0.75</v>
      </c>
    </row>
    <row r="58" spans="1:21" ht="17.5" customHeight="1" thickTop="1" thickBot="1" x14ac:dyDescent="0.4">
      <c r="A58" s="35" t="s">
        <v>79</v>
      </c>
      <c r="B58" s="36">
        <v>0.75</v>
      </c>
      <c r="C58" s="37">
        <v>0.5</v>
      </c>
    </row>
    <row r="59" spans="1:21" ht="17.5" customHeight="1" thickTop="1" thickBot="1" x14ac:dyDescent="0.4">
      <c r="A59" s="35" t="s">
        <v>80</v>
      </c>
      <c r="B59" s="36">
        <v>0.5</v>
      </c>
      <c r="C59" s="37">
        <v>0.25</v>
      </c>
    </row>
    <row r="60" spans="1:21" ht="17.5" customHeight="1" thickTop="1" thickBot="1" x14ac:dyDescent="0.4">
      <c r="A60" s="35" t="s">
        <v>81</v>
      </c>
      <c r="B60" s="36">
        <v>0.25</v>
      </c>
      <c r="C60" s="37">
        <v>0.25</v>
      </c>
    </row>
    <row r="62" spans="1:21" ht="17.5" customHeight="1" x14ac:dyDescent="0.35">
      <c r="A62" s="1" t="s">
        <v>84</v>
      </c>
    </row>
    <row r="64" spans="1:21" ht="17.5" customHeight="1" x14ac:dyDescent="0.35">
      <c r="A64" s="48" t="s">
        <v>27</v>
      </c>
      <c r="B64" s="48"/>
      <c r="D64" s="49" t="s">
        <v>88</v>
      </c>
      <c r="E64" s="49"/>
      <c r="H64" s="49" t="s">
        <v>85</v>
      </c>
      <c r="I64" s="49"/>
      <c r="K64" s="49" t="s">
        <v>103</v>
      </c>
      <c r="L64" s="49"/>
      <c r="Q64" s="49" t="s">
        <v>104</v>
      </c>
      <c r="R64" s="49"/>
      <c r="T64" s="49" t="s">
        <v>105</v>
      </c>
      <c r="U64" s="49"/>
    </row>
    <row r="65" spans="1:21" ht="17.5" customHeight="1" x14ac:dyDescent="0.35">
      <c r="A65" s="14" t="s">
        <v>86</v>
      </c>
      <c r="B65" s="14">
        <v>25000</v>
      </c>
      <c r="D65" s="14" t="s">
        <v>89</v>
      </c>
      <c r="E65" s="14">
        <v>10</v>
      </c>
      <c r="F65" s="41" t="s">
        <v>90</v>
      </c>
      <c r="H65" s="14" t="s">
        <v>96</v>
      </c>
      <c r="I65" s="41" t="s">
        <v>98</v>
      </c>
      <c r="J65" s="1" t="s">
        <v>97</v>
      </c>
      <c r="K65" s="14" t="s">
        <v>89</v>
      </c>
      <c r="L65" s="42">
        <v>12000</v>
      </c>
      <c r="M65" s="43"/>
      <c r="N65" s="43"/>
      <c r="O65" s="43"/>
      <c r="P65" s="43"/>
      <c r="Q65" s="14" t="s">
        <v>89</v>
      </c>
      <c r="R65" s="44">
        <v>0.2</v>
      </c>
      <c r="T65" s="14" t="s">
        <v>99</v>
      </c>
      <c r="U65" s="41">
        <v>100000</v>
      </c>
    </row>
    <row r="66" spans="1:21" ht="17.5" customHeight="1" x14ac:dyDescent="0.35">
      <c r="A66" s="14" t="s">
        <v>87</v>
      </c>
      <c r="B66" s="14">
        <v>10000</v>
      </c>
      <c r="D66" s="14" t="s">
        <v>91</v>
      </c>
      <c r="E66" s="14">
        <v>100</v>
      </c>
      <c r="F66" s="41" t="s">
        <v>90</v>
      </c>
      <c r="H66" s="14" t="s">
        <v>99</v>
      </c>
      <c r="I66" s="41">
        <v>3</v>
      </c>
      <c r="K66" s="14" t="s">
        <v>91</v>
      </c>
      <c r="L66" s="42">
        <v>25000</v>
      </c>
      <c r="M66" s="43"/>
      <c r="N66" s="43"/>
      <c r="O66" s="43"/>
      <c r="P66" s="43"/>
      <c r="Q66" s="14" t="s">
        <v>91</v>
      </c>
      <c r="R66" s="44">
        <v>0.1</v>
      </c>
      <c r="T66" s="14" t="s">
        <v>100</v>
      </c>
      <c r="U66" s="41">
        <v>100000</v>
      </c>
    </row>
    <row r="67" spans="1:21" ht="17.5" customHeight="1" x14ac:dyDescent="0.35">
      <c r="A67" s="14" t="s">
        <v>34</v>
      </c>
      <c r="B67" s="14">
        <v>5000</v>
      </c>
      <c r="D67" s="14" t="s">
        <v>92</v>
      </c>
      <c r="E67" s="14">
        <v>250</v>
      </c>
      <c r="F67" s="41" t="s">
        <v>90</v>
      </c>
      <c r="H67" s="14" t="s">
        <v>100</v>
      </c>
      <c r="I67" s="41">
        <v>1</v>
      </c>
      <c r="K67" s="14" t="s">
        <v>92</v>
      </c>
      <c r="L67" s="42">
        <v>50000</v>
      </c>
      <c r="M67" s="43"/>
      <c r="N67" s="43"/>
      <c r="O67" s="43"/>
      <c r="P67" s="43"/>
      <c r="Q67" s="14" t="s">
        <v>92</v>
      </c>
      <c r="R67" s="44">
        <v>0.08</v>
      </c>
      <c r="T67" s="14" t="s">
        <v>101</v>
      </c>
      <c r="U67" s="41">
        <v>100000</v>
      </c>
    </row>
    <row r="68" spans="1:21" ht="17.5" customHeight="1" x14ac:dyDescent="0.35">
      <c r="A68" s="14" t="s">
        <v>35</v>
      </c>
      <c r="B68" s="14">
        <v>1000</v>
      </c>
      <c r="D68" s="14" t="s">
        <v>93</v>
      </c>
      <c r="E68" s="14">
        <v>500</v>
      </c>
      <c r="F68" s="41" t="s">
        <v>90</v>
      </c>
      <c r="H68" s="14" t="s">
        <v>101</v>
      </c>
      <c r="I68" s="41">
        <v>1</v>
      </c>
      <c r="K68" s="14" t="s">
        <v>93</v>
      </c>
      <c r="L68" s="42">
        <v>100000</v>
      </c>
      <c r="M68" s="43"/>
      <c r="N68" s="43"/>
      <c r="O68" s="43"/>
      <c r="P68" s="43"/>
      <c r="Q68" s="14" t="s">
        <v>93</v>
      </c>
      <c r="R68" s="44">
        <v>0.06</v>
      </c>
      <c r="T68" s="14" t="s">
        <v>102</v>
      </c>
      <c r="U68" s="41">
        <v>100000</v>
      </c>
    </row>
    <row r="69" spans="1:21" ht="17.5" customHeight="1" x14ac:dyDescent="0.35">
      <c r="D69" s="14" t="s">
        <v>94</v>
      </c>
      <c r="E69" s="14">
        <v>1000</v>
      </c>
      <c r="F69" s="41" t="s">
        <v>90</v>
      </c>
      <c r="H69" s="14" t="s">
        <v>102</v>
      </c>
      <c r="I69" s="41">
        <v>2</v>
      </c>
      <c r="K69" s="14" t="s">
        <v>94</v>
      </c>
      <c r="L69" s="42">
        <v>150000</v>
      </c>
      <c r="M69" s="43"/>
      <c r="N69" s="43"/>
      <c r="O69" s="43"/>
      <c r="P69" s="43"/>
      <c r="Q69" s="14" t="s">
        <v>94</v>
      </c>
      <c r="R69" s="44">
        <v>0.04</v>
      </c>
      <c r="T69" s="14" t="s">
        <v>26</v>
      </c>
      <c r="U69" s="41">
        <v>300000</v>
      </c>
    </row>
    <row r="70" spans="1:21" ht="17.5" customHeight="1" x14ac:dyDescent="0.35">
      <c r="D70" s="14" t="s">
        <v>95</v>
      </c>
      <c r="E70" s="14">
        <v>5000</v>
      </c>
      <c r="F70" s="41" t="s">
        <v>90</v>
      </c>
      <c r="H70" s="14" t="s">
        <v>26</v>
      </c>
      <c r="I70" s="41">
        <v>5</v>
      </c>
      <c r="K70" s="14" t="s">
        <v>95</v>
      </c>
      <c r="L70" s="42">
        <v>250000</v>
      </c>
      <c r="M70" s="43"/>
      <c r="N70" s="43"/>
      <c r="O70" s="43"/>
      <c r="P70" s="43"/>
      <c r="Q70" s="14" t="s">
        <v>95</v>
      </c>
      <c r="R70" s="44">
        <v>0.02</v>
      </c>
      <c r="T70" s="14"/>
      <c r="U70" s="42"/>
    </row>
    <row r="73" spans="1:21" ht="17.5" customHeight="1" x14ac:dyDescent="0.35">
      <c r="A73" s="14" t="s">
        <v>30</v>
      </c>
      <c r="B73" s="45" t="s">
        <v>109</v>
      </c>
    </row>
    <row r="74" spans="1:21" ht="17.5" customHeight="1" x14ac:dyDescent="0.35">
      <c r="A74" s="14" t="s">
        <v>29</v>
      </c>
      <c r="B74" s="45"/>
    </row>
    <row r="75" spans="1:21" ht="17.5" customHeight="1" x14ac:dyDescent="0.35">
      <c r="A75" s="14" t="s">
        <v>106</v>
      </c>
      <c r="B75" s="45"/>
    </row>
    <row r="76" spans="1:21" ht="17.5" customHeight="1" x14ac:dyDescent="0.35">
      <c r="A76" s="14" t="s">
        <v>107</v>
      </c>
      <c r="B76" s="45"/>
    </row>
    <row r="77" spans="1:21" ht="17.5" customHeight="1" x14ac:dyDescent="0.35">
      <c r="A77" s="14" t="s">
        <v>108</v>
      </c>
      <c r="B77" s="45"/>
    </row>
  </sheetData>
  <sortState xmlns:xlrd2="http://schemas.microsoft.com/office/spreadsheetml/2017/richdata2" ref="A12:F30">
    <sortCondition descending="1" ref="B17:B30"/>
  </sortState>
  <mergeCells count="18">
    <mergeCell ref="A2:B2"/>
    <mergeCell ref="A10:B10"/>
    <mergeCell ref="H10:I10"/>
    <mergeCell ref="C10:F10"/>
    <mergeCell ref="J10:L10"/>
    <mergeCell ref="T64:U64"/>
    <mergeCell ref="N10:O10"/>
    <mergeCell ref="T10:U10"/>
    <mergeCell ref="V10:X10"/>
    <mergeCell ref="A32:B32"/>
    <mergeCell ref="A54:B54"/>
    <mergeCell ref="B73:B77"/>
    <mergeCell ref="P10:R10"/>
    <mergeCell ref="A64:B64"/>
    <mergeCell ref="D64:E64"/>
    <mergeCell ref="H64:I64"/>
    <mergeCell ref="K64:L64"/>
    <mergeCell ref="Q64:R6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1F260-2A05-4458-AFC3-8642193145FB}">
  <dimension ref="A1"/>
  <sheetViews>
    <sheetView workbookViewId="0">
      <selection activeCell="E9" sqref="E9"/>
    </sheetView>
  </sheetViews>
  <sheetFormatPr defaultRowHeight="14.5" x14ac:dyDescent="0.35"/>
  <sheetData>
    <row r="1" spans="1:1" x14ac:dyDescent="0.35">
      <c r="A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PnL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Mohore</dc:creator>
  <cp:lastModifiedBy>Shashank Mohore</cp:lastModifiedBy>
  <dcterms:created xsi:type="dcterms:W3CDTF">2026-02-13T01:11:40Z</dcterms:created>
  <dcterms:modified xsi:type="dcterms:W3CDTF">2026-02-17T13:17:05Z</dcterms:modified>
</cp:coreProperties>
</file>